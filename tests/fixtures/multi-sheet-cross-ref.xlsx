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s" sheetId="1" r:id="rId1"/>
    <sheet name="Calculations" sheetId="2" r:id="rId2"/>
    <sheet name="Resul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>
        <v>5</v>
      </c>
      <c r="B1">
        <v>7.8</v>
      </c>
    </row>
    <row r="2">
      <c r="A2">
        <v>3</v>
      </c>
      <c r="B2">
        <v>2.5</v>
      </c>
    </row>
    <row r="3">
      <c r="A3">
        <v>2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>
        <f>Inputs!A1*Inputs!A2</f>
        <v>15</v>
      </c>
      <c r="B1">
        <f>2*(Inputs!A1*Inputs!A2+Inputs!A2*Inputs!A3+Inputs!A1*Inputs!A3)</f>
        <v>62</v>
      </c>
    </row>
    <row r="2">
      <c r="A2">
        <f>A1*Inputs!A3</f>
        <v>30</v>
      </c>
      <c r="B2">
        <f>4*(Inputs!A1+Inputs!A2+Inputs!A3)</f>
        <v>40</v>
      </c>
    </row>
    <row r="3">
      <c r="A3">
        <f>A2*Inputs!B1</f>
        <v>234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>
        <f>Calculations!A3*Inputs!B2</f>
        <v>585</v>
      </c>
      <c r="B1">
        <f>Calculations!B1/Calculations!A2</f>
        <v>2.067</v>
      </c>
      <c r="D1">
        <v>25</v>
      </c>
      <c r="E1">
        <f>(D1+D2+D3)/3</f>
        <v>133.38</v>
      </c>
    </row>
    <row r="2">
      <c r="A2">
        <f>A1/Calculations!A2</f>
        <v>19.5</v>
      </c>
      <c r="B2">
        <f>B1*100</f>
        <v>206.7</v>
      </c>
      <c r="D2">
        <f>D1*9/5+32</f>
        <v>77</v>
      </c>
      <c r="E2">
        <f>D3-D1</f>
        <v>248.15</v>
      </c>
    </row>
    <row r="3">
      <c r="A3">
        <f>A1+A2</f>
        <v>604.5</v>
      </c>
      <c r="D3">
        <f>D1+273.15</f>
        <v>298.15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Calculations</vt:lpstr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